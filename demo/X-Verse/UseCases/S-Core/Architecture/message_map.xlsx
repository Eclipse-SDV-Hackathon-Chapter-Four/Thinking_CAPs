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x-verse\home\gbr\autoverse\UseCases\S-Core\Architecture\"/>
    </mc:Choice>
  </mc:AlternateContent>
  <xr:revisionPtr revIDLastSave="0" documentId="13_ncr:1_{1AD6101F-08F5-43E1-955C-E7DEF5540276}" xr6:coauthVersionLast="47" xr6:coauthVersionMax="47" xr10:uidLastSave="{00000000-0000-0000-0000-000000000000}"/>
  <bookViews>
    <workbookView xWindow="19092" yWindow="-4404" windowWidth="30936" windowHeight="16776" xr2:uid="{F1A5C788-82EE-4605-9664-9549B05FEB2E}"/>
  </bookViews>
  <sheets>
    <sheet name="Message Map" sheetId="5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5" l="1"/>
  <c r="O5" i="5"/>
</calcChain>
</file>

<file path=xl/sharedStrings.xml><?xml version="1.0" encoding="utf-8"?>
<sst xmlns="http://schemas.openxmlformats.org/spreadsheetml/2006/main" count="199" uniqueCount="97">
  <si>
    <t>vehicle/status/clock_status</t>
  </si>
  <si>
    <t>vehicle/status/velocity_status</t>
  </si>
  <si>
    <t>adas/cruise_control/target_speed</t>
  </si>
  <si>
    <t>Data Type</t>
  </si>
  <si>
    <t>Description</t>
  </si>
  <si>
    <t>Speed increment/decrement command (adjusts target velocity when PID active)</t>
  </si>
  <si>
    <t>boolean (string)</t>
  </si>
  <si>
    <t>SOME/IP</t>
  </si>
  <si>
    <t>Signal</t>
  </si>
  <si>
    <t>Provider</t>
  </si>
  <si>
    <t>Consumer</t>
  </si>
  <si>
    <t>sim_clock_sts</t>
  </si>
  <si>
    <t>ego_velocity_sts</t>
  </si>
  <si>
    <t>ego_delta_speed_sts</t>
  </si>
  <si>
    <t>ego_cc_engage_req</t>
  </si>
  <si>
    <t>adas_cc_target_speed_sts</t>
  </si>
  <si>
    <t>adas_thruttle_req</t>
  </si>
  <si>
    <t>vcu_brake_sts</t>
  </si>
  <si>
    <t>vcu_brake_cmd</t>
  </si>
  <si>
    <t>vcu_throttle_cmd</t>
  </si>
  <si>
    <t>ego_acc_pedal_sts</t>
  </si>
  <si>
    <t>ego_brake_pedal_sts</t>
  </si>
  <si>
    <t>bcm_brake_lights_cmd</t>
  </si>
  <si>
    <t>Zenoh Topic</t>
  </si>
  <si>
    <t>Boolean</t>
  </si>
  <si>
    <t>float32</t>
  </si>
  <si>
    <t>Service ID</t>
  </si>
  <si>
    <t>Instance ID</t>
  </si>
  <si>
    <t>Event Group</t>
  </si>
  <si>
    <t>Event ID</t>
  </si>
  <si>
    <t>Virtual Vehicle</t>
  </si>
  <si>
    <t>VCU</t>
  </si>
  <si>
    <t>AAOS</t>
  </si>
  <si>
    <t>BCM</t>
  </si>
  <si>
    <t>x</t>
  </si>
  <si>
    <t>CAN</t>
  </si>
  <si>
    <t>MSG ID</t>
  </si>
  <si>
    <t>Res</t>
  </si>
  <si>
    <t>Current vehicle velocity measured from CARLA Simulator</t>
  </si>
  <si>
    <t>Delta Time between two consecutive CARLA Simulation frames. System timestamp for PID computation timing</t>
  </si>
  <si>
    <t>vehicle/control/cc_engage_req</t>
  </si>
  <si>
    <t>boolean</t>
  </si>
  <si>
    <t>ADAS</t>
  </si>
  <si>
    <t>Signal to indicate that the Cruise Control is enabled or disabled</t>
  </si>
  <si>
    <t>0x1F1</t>
  </si>
  <si>
    <t>adas/cruise_control/thruttle_req</t>
  </si>
  <si>
    <t>Bytes</t>
  </si>
  <si>
    <t>Bits</t>
  </si>
  <si>
    <t>1-2</t>
  </si>
  <si>
    <t>ALL</t>
  </si>
  <si>
    <t>UINT16</t>
  </si>
  <si>
    <t>0.00001526</t>
  </si>
  <si>
    <t>Throttle request from Cruise Control to be applied in the vehicle</t>
  </si>
  <si>
    <t>vcu/control/brake_sts</t>
  </si>
  <si>
    <t>0x1F2</t>
  </si>
  <si>
    <t>Brake status, it is true if brake is activated or false otherwise</t>
  </si>
  <si>
    <t>vcu/control/brake_cmd</t>
  </si>
  <si>
    <t>Min</t>
  </si>
  <si>
    <t>Max</t>
  </si>
  <si>
    <t>Unit</t>
  </si>
  <si>
    <t>10000.0</t>
  </si>
  <si>
    <t>ms</t>
  </si>
  <si>
    <t>km/h</t>
  </si>
  <si>
    <t>N/A</t>
  </si>
  <si>
    <t>1.0</t>
  </si>
  <si>
    <t>0.0</t>
  </si>
  <si>
    <t>scalar</t>
  </si>
  <si>
    <t>Brake strength from 0.0 (brake released) to 1.0 (full brake)</t>
  </si>
  <si>
    <t>vcu/control/throttle_cmd</t>
  </si>
  <si>
    <t>Acceleration intensity from 0.0 (no acceleration) to 1.0 (full acceleration)</t>
  </si>
  <si>
    <t>vehicle/command/acc_pedal_sts</t>
  </si>
  <si>
    <t>0x1F3</t>
  </si>
  <si>
    <t>0-1</t>
  </si>
  <si>
    <t>Brake pedal course, from 0.0 (brake pedal released) to 1.0 (fully pressed)</t>
  </si>
  <si>
    <t>vehicle/command/brake_pedal_sts</t>
  </si>
  <si>
    <t>2-3</t>
  </si>
  <si>
    <t>Acceleration pedal course, from 0.0 (acceleration pedal released) to 1.0 (fully pressed)</t>
  </si>
  <si>
    <t>vehicle/lights/brake_lights_cmd</t>
  </si>
  <si>
    <t>0x1F4</t>
  </si>
  <si>
    <t>Brake lights activation command</t>
  </si>
  <si>
    <t>ego_reverse_req</t>
  </si>
  <si>
    <t>vehicle/control/reverse_req</t>
  </si>
  <si>
    <t>vcu_cc_engage_sts</t>
  </si>
  <si>
    <t>vcu/control/cc_engage_sts</t>
  </si>
  <si>
    <t>vcu_reverse_sts</t>
  </si>
  <si>
    <t>vcu/control/reverse_sts</t>
  </si>
  <si>
    <t>Signal to indicate that the Reverse Mode is enabled or disabled</t>
  </si>
  <si>
    <t>Command from the user to enable or disable the Cruise Control</t>
  </si>
  <si>
    <t>Command from the user to enable or disable the Reverse Mode</t>
  </si>
  <si>
    <t>Current target velocity for Cruise Control</t>
  </si>
  <si>
    <t>bcm_reverse_lights_cmd</t>
  </si>
  <si>
    <t>vehicle/lights/reverse_lights_cmd</t>
  </si>
  <si>
    <t>vehicle/control/delta_speed</t>
  </si>
  <si>
    <t>0x1F0</t>
  </si>
  <si>
    <t>0.00396734</t>
  </si>
  <si>
    <t>2.0</t>
  </si>
  <si>
    <t>m/s2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</si>
</sst>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616161"/>
      <name val="Segoe UI"/>
      <family val="2"/>
    </font>
    <font>
      <sz val="10"/>
      <color rgb="FF616161"/>
      <name val="Segoe UI"/>
      <family val="2"/>
    </font>
    <font>
      <sz val="9"/>
      <color rgb="FFA31515"/>
      <name val="Consolas"/>
      <family val="3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C359-C32F-42C1-94D0-B5C944A0F32A}">
  <dimension ref="B1:W21"/>
  <sheetViews>
    <sheetView showGridLines="0" tabSelected="1" zoomScale="115" zoomScaleNormal="115" workbookViewId="0">
      <pane xSplit="3" topLeftCell="D1" activePane="topRight" state="frozen"/>
      <selection pane="topRight" activeCell="I12" sqref="I12"/>
    </sheetView>
  </sheetViews>
  <sheetFormatPr defaultRowHeight="15" x14ac:dyDescent="0.25"/>
  <cols>
    <col min="1" max="1" width="4" customWidth="1"/>
    <col min="2" max="2" width="23.140625" customWidth="1"/>
    <col min="3" max="3" width="13.140625" bestFit="1" customWidth="1"/>
    <col min="4" max="4" width="6.140625" bestFit="1" customWidth="1"/>
    <col min="5" max="5" width="7" customWidth="1"/>
    <col min="6" max="6" width="6.42578125" customWidth="1"/>
    <col min="7" max="7" width="6.7109375" customWidth="1"/>
    <col min="8" max="8" width="14.140625" customWidth="1"/>
    <col min="9" max="9" width="34.5703125" customWidth="1"/>
    <col min="10" max="10" width="9.85546875" bestFit="1" customWidth="1"/>
    <col min="11" max="11" width="10.85546875" bestFit="1" customWidth="1"/>
    <col min="12" max="12" width="11.85546875" bestFit="1" customWidth="1"/>
    <col min="13" max="13" width="8.42578125" bestFit="1" customWidth="1"/>
    <col min="14" max="14" width="7.7109375" bestFit="1" customWidth="1"/>
    <col min="15" max="15" width="7" bestFit="1" customWidth="1"/>
    <col min="16" max="16" width="4.28515625" bestFit="1" customWidth="1"/>
    <col min="17" max="17" width="10" bestFit="1" customWidth="1"/>
    <col min="18" max="18" width="11" bestFit="1" customWidth="1"/>
    <col min="19" max="19" width="94.5703125" bestFit="1" customWidth="1"/>
    <col min="20" max="20" width="14.42578125" bestFit="1" customWidth="1"/>
    <col min="21" max="21" width="5.140625" customWidth="1"/>
    <col min="22" max="22" width="9.42578125" customWidth="1"/>
    <col min="23" max="23" width="8.28515625" customWidth="1"/>
  </cols>
  <sheetData>
    <row r="1" spans="2:23" ht="15.75" thickBot="1" x14ac:dyDescent="0.3"/>
    <row r="2" spans="2:23" ht="15.75" thickBot="1" x14ac:dyDescent="0.3">
      <c r="D2" s="12" t="s">
        <v>10</v>
      </c>
      <c r="E2" s="13"/>
      <c r="F2" s="13"/>
      <c r="G2" s="13"/>
      <c r="H2" s="14"/>
      <c r="J2" s="12" t="s">
        <v>7</v>
      </c>
      <c r="K2" s="13"/>
      <c r="L2" s="13"/>
      <c r="M2" s="14"/>
      <c r="N2" s="12" t="s">
        <v>35</v>
      </c>
      <c r="O2" s="13"/>
      <c r="P2" s="13"/>
      <c r="Q2" s="13"/>
      <c r="R2" s="14"/>
    </row>
    <row r="3" spans="2:23" ht="15.75" thickBot="1" x14ac:dyDescent="0.3">
      <c r="B3" s="1" t="s">
        <v>8</v>
      </c>
      <c r="C3" s="1" t="s">
        <v>9</v>
      </c>
      <c r="D3" s="3" t="s">
        <v>42</v>
      </c>
      <c r="E3" s="3" t="s">
        <v>31</v>
      </c>
      <c r="F3" s="3" t="s">
        <v>33</v>
      </c>
      <c r="G3" s="3" t="s">
        <v>32</v>
      </c>
      <c r="H3" s="3" t="s">
        <v>30</v>
      </c>
      <c r="I3" s="1" t="s">
        <v>23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36</v>
      </c>
      <c r="O3" s="3" t="s">
        <v>46</v>
      </c>
      <c r="P3" s="3" t="s">
        <v>47</v>
      </c>
      <c r="Q3" s="3" t="s">
        <v>3</v>
      </c>
      <c r="R3" s="3" t="s">
        <v>37</v>
      </c>
      <c r="S3" s="1" t="s">
        <v>4</v>
      </c>
      <c r="T3" s="1" t="s">
        <v>3</v>
      </c>
      <c r="U3" s="1" t="s">
        <v>57</v>
      </c>
      <c r="V3" s="1" t="s">
        <v>58</v>
      </c>
      <c r="W3" s="1" t="s">
        <v>59</v>
      </c>
    </row>
    <row r="4" spans="2:23" ht="15.75" thickBot="1" x14ac:dyDescent="0.3">
      <c r="B4" s="4" t="s">
        <v>11</v>
      </c>
      <c r="C4" s="4" t="s">
        <v>30</v>
      </c>
      <c r="D4" s="4" t="s">
        <v>34</v>
      </c>
      <c r="E4" s="4"/>
      <c r="F4" s="4"/>
      <c r="G4" s="4"/>
      <c r="H4" s="4"/>
      <c r="I4" s="5" t="s">
        <v>0</v>
      </c>
      <c r="J4" s="10">
        <v>4660</v>
      </c>
      <c r="K4" s="10">
        <v>1</v>
      </c>
      <c r="L4" s="10">
        <v>1</v>
      </c>
      <c r="M4" s="10">
        <v>30500</v>
      </c>
      <c r="N4" s="10"/>
      <c r="O4" s="10"/>
      <c r="P4" s="10"/>
      <c r="Q4" s="10"/>
      <c r="R4" s="10"/>
      <c r="S4" s="6" t="s">
        <v>39</v>
      </c>
      <c r="T4" s="4" t="s">
        <v>25</v>
      </c>
      <c r="U4" s="4">
        <v>0</v>
      </c>
      <c r="V4" s="4" t="s">
        <v>60</v>
      </c>
      <c r="W4" s="4" t="s">
        <v>61</v>
      </c>
    </row>
    <row r="5" spans="2:23" ht="15.75" thickBot="1" x14ac:dyDescent="0.3">
      <c r="B5" s="7" t="s">
        <v>12</v>
      </c>
      <c r="C5" s="7" t="s">
        <v>30</v>
      </c>
      <c r="D5" s="7" t="s">
        <v>34</v>
      </c>
      <c r="E5" s="7" t="s">
        <v>34</v>
      </c>
      <c r="F5" s="7"/>
      <c r="G5" s="7" t="s">
        <v>34</v>
      </c>
      <c r="H5" s="7"/>
      <c r="I5" s="8" t="s">
        <v>1</v>
      </c>
      <c r="J5" s="11">
        <v>4660</v>
      </c>
      <c r="K5" s="11">
        <v>1</v>
      </c>
      <c r="L5" s="11">
        <v>1</v>
      </c>
      <c r="M5" s="11">
        <v>30501</v>
      </c>
      <c r="N5" s="11" t="s">
        <v>71</v>
      </c>
      <c r="O5" s="11" t="str">
        <f>"4-5"</f>
        <v>4-5</v>
      </c>
      <c r="P5" s="11" t="s">
        <v>49</v>
      </c>
      <c r="Q5" s="11" t="s">
        <v>50</v>
      </c>
      <c r="R5" s="11" t="s">
        <v>94</v>
      </c>
      <c r="S5" s="9" t="s">
        <v>38</v>
      </c>
      <c r="T5" s="7" t="s">
        <v>25</v>
      </c>
      <c r="U5" s="7">
        <v>0</v>
      </c>
      <c r="V5" s="7">
        <v>260</v>
      </c>
      <c r="W5" s="7" t="s">
        <v>62</v>
      </c>
    </row>
    <row r="6" spans="2:23" ht="15.75" thickBot="1" x14ac:dyDescent="0.3">
      <c r="B6" s="4" t="s">
        <v>20</v>
      </c>
      <c r="C6" s="4" t="s">
        <v>30</v>
      </c>
      <c r="D6" s="4"/>
      <c r="E6" s="4" t="s">
        <v>34</v>
      </c>
      <c r="F6" s="4"/>
      <c r="G6" s="4"/>
      <c r="H6" s="4"/>
      <c r="I6" s="5" t="s">
        <v>70</v>
      </c>
      <c r="J6" s="10"/>
      <c r="K6" s="10"/>
      <c r="L6" s="10"/>
      <c r="M6" s="10"/>
      <c r="N6" s="10" t="s">
        <v>71</v>
      </c>
      <c r="O6" s="10" t="s">
        <v>72</v>
      </c>
      <c r="P6" s="10" t="s">
        <v>49</v>
      </c>
      <c r="Q6" s="10" t="s">
        <v>50</v>
      </c>
      <c r="R6" s="10" t="s">
        <v>51</v>
      </c>
      <c r="S6" s="6" t="s">
        <v>76</v>
      </c>
      <c r="T6" s="4" t="s">
        <v>25</v>
      </c>
      <c r="U6" s="4" t="s">
        <v>65</v>
      </c>
      <c r="V6" s="4" t="s">
        <v>64</v>
      </c>
      <c r="W6" s="4" t="s">
        <v>66</v>
      </c>
    </row>
    <row r="7" spans="2:23" ht="15.75" thickBot="1" x14ac:dyDescent="0.3">
      <c r="B7" s="7" t="s">
        <v>21</v>
      </c>
      <c r="C7" s="7" t="s">
        <v>30</v>
      </c>
      <c r="D7" s="7"/>
      <c r="E7" s="7" t="s">
        <v>34</v>
      </c>
      <c r="F7" s="7"/>
      <c r="G7" s="7"/>
      <c r="H7" s="7"/>
      <c r="I7" s="8" t="s">
        <v>74</v>
      </c>
      <c r="J7" s="11"/>
      <c r="K7" s="11"/>
      <c r="L7" s="11"/>
      <c r="M7" s="11"/>
      <c r="N7" s="11" t="s">
        <v>71</v>
      </c>
      <c r="O7" s="11" t="s">
        <v>75</v>
      </c>
      <c r="P7" s="11" t="s">
        <v>49</v>
      </c>
      <c r="Q7" s="11" t="s">
        <v>50</v>
      </c>
      <c r="R7" s="11" t="s">
        <v>51</v>
      </c>
      <c r="S7" s="9" t="s">
        <v>73</v>
      </c>
      <c r="T7" s="7" t="s">
        <v>25</v>
      </c>
      <c r="U7" s="7" t="s">
        <v>65</v>
      </c>
      <c r="V7" s="7" t="s">
        <v>64</v>
      </c>
      <c r="W7" s="7" t="s">
        <v>66</v>
      </c>
    </row>
    <row r="8" spans="2:23" ht="15.75" thickBot="1" x14ac:dyDescent="0.3">
      <c r="B8" s="4" t="s">
        <v>13</v>
      </c>
      <c r="C8" s="4" t="s">
        <v>30</v>
      </c>
      <c r="D8" s="4" t="s">
        <v>34</v>
      </c>
      <c r="E8" s="4"/>
      <c r="F8" s="4"/>
      <c r="G8" s="4"/>
      <c r="H8" s="4"/>
      <c r="I8" s="5" t="s">
        <v>92</v>
      </c>
      <c r="J8" s="10">
        <v>4660</v>
      </c>
      <c r="K8" s="10">
        <v>1</v>
      </c>
      <c r="L8" s="10">
        <v>1</v>
      </c>
      <c r="M8" s="10">
        <v>30502</v>
      </c>
      <c r="N8" s="10"/>
      <c r="O8" s="10"/>
      <c r="P8" s="10"/>
      <c r="Q8" s="10"/>
      <c r="R8" s="10"/>
      <c r="S8" s="6" t="s">
        <v>5</v>
      </c>
      <c r="T8" s="4" t="s">
        <v>25</v>
      </c>
      <c r="U8" s="4">
        <v>0</v>
      </c>
      <c r="V8" s="4">
        <v>20</v>
      </c>
      <c r="W8" s="4" t="s">
        <v>62</v>
      </c>
    </row>
    <row r="9" spans="2:23" ht="15.75" thickBot="1" x14ac:dyDescent="0.3">
      <c r="B9" s="7" t="s">
        <v>14</v>
      </c>
      <c r="C9" s="7" t="s">
        <v>30</v>
      </c>
      <c r="D9" s="7"/>
      <c r="E9" s="7" t="s">
        <v>34</v>
      </c>
      <c r="F9" s="7"/>
      <c r="G9" s="7"/>
      <c r="H9" s="7"/>
      <c r="I9" s="8" t="s">
        <v>40</v>
      </c>
      <c r="J9" s="11"/>
      <c r="K9" s="11"/>
      <c r="L9" s="11"/>
      <c r="M9" s="11"/>
      <c r="N9" s="11" t="s">
        <v>93</v>
      </c>
      <c r="O9" s="11">
        <v>0</v>
      </c>
      <c r="P9" s="11">
        <v>0</v>
      </c>
      <c r="Q9" s="11" t="s">
        <v>24</v>
      </c>
      <c r="R9" s="11">
        <v>1</v>
      </c>
      <c r="S9" s="9" t="s">
        <v>87</v>
      </c>
      <c r="T9" s="7" t="s">
        <v>6</v>
      </c>
      <c r="U9" s="7">
        <v>0</v>
      </c>
      <c r="V9" s="7">
        <v>1</v>
      </c>
      <c r="W9" s="7" t="s">
        <v>63</v>
      </c>
    </row>
    <row r="10" spans="2:23" ht="15.75" thickBot="1" x14ac:dyDescent="0.3">
      <c r="B10" s="4" t="s">
        <v>80</v>
      </c>
      <c r="C10" s="4" t="s">
        <v>30</v>
      </c>
      <c r="D10" s="4"/>
      <c r="E10" s="4" t="s">
        <v>34</v>
      </c>
      <c r="F10" s="4"/>
      <c r="G10" s="4"/>
      <c r="H10" s="4"/>
      <c r="I10" s="5" t="s">
        <v>81</v>
      </c>
      <c r="J10" s="10"/>
      <c r="K10" s="10"/>
      <c r="L10" s="10"/>
      <c r="M10" s="10"/>
      <c r="N10" s="10" t="s">
        <v>93</v>
      </c>
      <c r="O10" s="10">
        <v>0</v>
      </c>
      <c r="P10" s="10">
        <v>1</v>
      </c>
      <c r="Q10" s="10" t="s">
        <v>24</v>
      </c>
      <c r="R10" s="10">
        <v>1</v>
      </c>
      <c r="S10" s="6" t="s">
        <v>88</v>
      </c>
      <c r="T10" s="4" t="s">
        <v>6</v>
      </c>
      <c r="U10" s="4">
        <v>0</v>
      </c>
      <c r="V10" s="4">
        <v>1</v>
      </c>
      <c r="W10" s="4" t="s">
        <v>63</v>
      </c>
    </row>
    <row r="11" spans="2:23" ht="15.75" thickBot="1" x14ac:dyDescent="0.3">
      <c r="B11" s="7" t="s">
        <v>82</v>
      </c>
      <c r="C11" s="7" t="s">
        <v>31</v>
      </c>
      <c r="D11" s="7" t="s">
        <v>34</v>
      </c>
      <c r="E11" s="7"/>
      <c r="F11" s="7"/>
      <c r="G11" s="7" t="s">
        <v>34</v>
      </c>
      <c r="H11" s="7" t="s">
        <v>34</v>
      </c>
      <c r="I11" s="8" t="s">
        <v>83</v>
      </c>
      <c r="J11" s="11">
        <v>4660</v>
      </c>
      <c r="K11" s="11">
        <v>1</v>
      </c>
      <c r="L11" s="11">
        <v>1</v>
      </c>
      <c r="M11" s="11">
        <v>30503</v>
      </c>
      <c r="N11" s="11" t="s">
        <v>44</v>
      </c>
      <c r="O11" s="11">
        <v>0</v>
      </c>
      <c r="P11" s="11">
        <v>0</v>
      </c>
      <c r="Q11" s="11" t="s">
        <v>24</v>
      </c>
      <c r="R11" s="11">
        <v>1</v>
      </c>
      <c r="S11" s="9" t="s">
        <v>43</v>
      </c>
      <c r="T11" s="7" t="s">
        <v>41</v>
      </c>
      <c r="U11" s="7">
        <v>0</v>
      </c>
      <c r="V11" s="7">
        <v>1</v>
      </c>
      <c r="W11" s="7" t="s">
        <v>63</v>
      </c>
    </row>
    <row r="12" spans="2:23" ht="15.75" thickBot="1" x14ac:dyDescent="0.3">
      <c r="B12" s="4" t="s">
        <v>84</v>
      </c>
      <c r="C12" s="4" t="s">
        <v>31</v>
      </c>
      <c r="D12" s="4"/>
      <c r="E12" s="4"/>
      <c r="F12" s="4" t="s">
        <v>34</v>
      </c>
      <c r="G12" s="4" t="s">
        <v>34</v>
      </c>
      <c r="H12" s="4" t="s">
        <v>34</v>
      </c>
      <c r="I12" s="5" t="s">
        <v>85</v>
      </c>
      <c r="J12" s="10"/>
      <c r="K12" s="10"/>
      <c r="L12" s="10"/>
      <c r="M12" s="10"/>
      <c r="N12" s="10" t="s">
        <v>44</v>
      </c>
      <c r="O12" s="10">
        <v>0</v>
      </c>
      <c r="P12" s="10">
        <v>1</v>
      </c>
      <c r="Q12" s="10" t="s">
        <v>24</v>
      </c>
      <c r="R12" s="10">
        <v>1</v>
      </c>
      <c r="S12" s="6" t="s">
        <v>86</v>
      </c>
      <c r="T12" s="4" t="s">
        <v>41</v>
      </c>
      <c r="U12" s="4">
        <v>0</v>
      </c>
      <c r="V12" s="4">
        <v>1</v>
      </c>
      <c r="W12" s="4" t="s">
        <v>63</v>
      </c>
    </row>
    <row r="13" spans="2:23" ht="15.75" thickBot="1" x14ac:dyDescent="0.3">
      <c r="B13" s="7" t="s">
        <v>17</v>
      </c>
      <c r="C13" s="7" t="s">
        <v>31</v>
      </c>
      <c r="D13" s="7"/>
      <c r="E13" s="7"/>
      <c r="F13" s="7" t="s">
        <v>34</v>
      </c>
      <c r="G13" s="7"/>
      <c r="H13" s="7"/>
      <c r="I13" s="8" t="s">
        <v>53</v>
      </c>
      <c r="J13" s="11"/>
      <c r="K13" s="11"/>
      <c r="L13" s="11"/>
      <c r="M13" s="11"/>
      <c r="N13" s="11" t="s">
        <v>44</v>
      </c>
      <c r="O13" s="11">
        <v>0</v>
      </c>
      <c r="P13" s="11">
        <v>2</v>
      </c>
      <c r="Q13" s="11" t="s">
        <v>24</v>
      </c>
      <c r="R13" s="11">
        <v>1</v>
      </c>
      <c r="S13" s="9" t="s">
        <v>55</v>
      </c>
      <c r="T13" s="7" t="s">
        <v>41</v>
      </c>
      <c r="U13" s="7">
        <v>0</v>
      </c>
      <c r="V13" s="7">
        <v>1</v>
      </c>
      <c r="W13" s="7" t="s">
        <v>63</v>
      </c>
    </row>
    <row r="14" spans="2:23" ht="15.75" thickBot="1" x14ac:dyDescent="0.3">
      <c r="B14" s="4" t="s">
        <v>18</v>
      </c>
      <c r="C14" s="4" t="s">
        <v>31</v>
      </c>
      <c r="D14" s="4"/>
      <c r="E14" s="4"/>
      <c r="F14" s="4"/>
      <c r="G14" s="4" t="s">
        <v>34</v>
      </c>
      <c r="H14" s="4" t="s">
        <v>34</v>
      </c>
      <c r="I14" s="5" t="s">
        <v>56</v>
      </c>
      <c r="J14" s="10"/>
      <c r="K14" s="10"/>
      <c r="L14" s="10"/>
      <c r="M14" s="10"/>
      <c r="N14" s="10" t="s">
        <v>54</v>
      </c>
      <c r="O14" s="10" t="s">
        <v>72</v>
      </c>
      <c r="P14" s="10" t="s">
        <v>49</v>
      </c>
      <c r="Q14" s="10" t="s">
        <v>50</v>
      </c>
      <c r="R14" s="10" t="s">
        <v>51</v>
      </c>
      <c r="S14" s="6" t="s">
        <v>67</v>
      </c>
      <c r="T14" s="4" t="s">
        <v>25</v>
      </c>
      <c r="U14" s="4" t="s">
        <v>65</v>
      </c>
      <c r="V14" s="4" t="s">
        <v>64</v>
      </c>
      <c r="W14" s="4" t="s">
        <v>66</v>
      </c>
    </row>
    <row r="15" spans="2:23" ht="15.75" thickBot="1" x14ac:dyDescent="0.3">
      <c r="B15" s="7" t="s">
        <v>19</v>
      </c>
      <c r="C15" s="7" t="s">
        <v>31</v>
      </c>
      <c r="D15" s="7"/>
      <c r="E15" s="7"/>
      <c r="F15" s="7"/>
      <c r="G15" s="7" t="s">
        <v>34</v>
      </c>
      <c r="H15" s="7" t="s">
        <v>34</v>
      </c>
      <c r="I15" s="8" t="s">
        <v>68</v>
      </c>
      <c r="J15" s="11"/>
      <c r="K15" s="11"/>
      <c r="L15" s="11"/>
      <c r="M15" s="11"/>
      <c r="N15" s="11" t="s">
        <v>54</v>
      </c>
      <c r="O15" s="11" t="s">
        <v>75</v>
      </c>
      <c r="P15" s="11" t="s">
        <v>49</v>
      </c>
      <c r="Q15" s="11" t="s">
        <v>50</v>
      </c>
      <c r="R15" s="11" t="s">
        <v>51</v>
      </c>
      <c r="S15" s="9" t="s">
        <v>69</v>
      </c>
      <c r="T15" s="7" t="s">
        <v>25</v>
      </c>
      <c r="U15" s="7" t="s">
        <v>65</v>
      </c>
      <c r="V15" s="7" t="s">
        <v>64</v>
      </c>
      <c r="W15" s="7" t="s">
        <v>66</v>
      </c>
    </row>
    <row r="16" spans="2:23" ht="15.75" thickBot="1" x14ac:dyDescent="0.3">
      <c r="B16" s="4" t="s">
        <v>15</v>
      </c>
      <c r="C16" s="4" t="s">
        <v>42</v>
      </c>
      <c r="D16" s="4"/>
      <c r="E16" s="4"/>
      <c r="F16" s="4"/>
      <c r="G16" s="4" t="s">
        <v>34</v>
      </c>
      <c r="H16" s="4" t="s">
        <v>34</v>
      </c>
      <c r="I16" s="5" t="s">
        <v>2</v>
      </c>
      <c r="J16" s="10">
        <v>3000</v>
      </c>
      <c r="K16" s="10">
        <v>1</v>
      </c>
      <c r="L16" s="10">
        <v>1</v>
      </c>
      <c r="M16" s="10">
        <v>30600</v>
      </c>
      <c r="N16" s="10"/>
      <c r="O16" s="10"/>
      <c r="P16" s="10"/>
      <c r="Q16" s="10"/>
      <c r="R16" s="10"/>
      <c r="S16" s="6" t="s">
        <v>89</v>
      </c>
      <c r="T16" s="4" t="s">
        <v>25</v>
      </c>
      <c r="U16" s="4">
        <v>0</v>
      </c>
      <c r="V16" s="4">
        <v>1000</v>
      </c>
      <c r="W16" s="4" t="s">
        <v>62</v>
      </c>
    </row>
    <row r="17" spans="2:23" ht="15.75" thickBot="1" x14ac:dyDescent="0.3">
      <c r="B17" s="7" t="s">
        <v>16</v>
      </c>
      <c r="C17" s="7" t="s">
        <v>42</v>
      </c>
      <c r="D17" s="7"/>
      <c r="E17" s="7" t="s">
        <v>34</v>
      </c>
      <c r="F17" s="7"/>
      <c r="G17" s="7"/>
      <c r="H17" s="7"/>
      <c r="I17" s="8" t="s">
        <v>45</v>
      </c>
      <c r="J17" s="11">
        <v>3000</v>
      </c>
      <c r="K17" s="11">
        <v>1</v>
      </c>
      <c r="L17" s="11">
        <v>1</v>
      </c>
      <c r="M17" s="11">
        <v>30601</v>
      </c>
      <c r="N17" s="11" t="s">
        <v>44</v>
      </c>
      <c r="O17" s="11" t="s">
        <v>48</v>
      </c>
      <c r="P17" s="11" t="s">
        <v>49</v>
      </c>
      <c r="Q17" s="11" t="s">
        <v>50</v>
      </c>
      <c r="R17" s="11" t="s">
        <v>51</v>
      </c>
      <c r="S17" s="9" t="s">
        <v>52</v>
      </c>
      <c r="T17" s="7" t="s">
        <v>25</v>
      </c>
      <c r="U17" s="7" t="str">
        <f>"-3.0"</f>
        <v>-3.0</v>
      </c>
      <c r="V17" s="7" t="s">
        <v>95</v>
      </c>
      <c r="W17" s="7" t="s">
        <v>96</v>
      </c>
    </row>
    <row r="18" spans="2:23" ht="15.75" thickBot="1" x14ac:dyDescent="0.3">
      <c r="B18" s="4" t="s">
        <v>90</v>
      </c>
      <c r="C18" s="4" t="s">
        <v>33</v>
      </c>
      <c r="D18" s="4"/>
      <c r="E18" s="4"/>
      <c r="F18" s="4"/>
      <c r="G18" s="4"/>
      <c r="H18" s="4" t="s">
        <v>34</v>
      </c>
      <c r="I18" s="5" t="s">
        <v>91</v>
      </c>
      <c r="J18" s="10"/>
      <c r="K18" s="10"/>
      <c r="L18" s="10"/>
      <c r="M18" s="10"/>
      <c r="N18" s="10" t="s">
        <v>78</v>
      </c>
      <c r="O18" s="10">
        <v>0</v>
      </c>
      <c r="P18" s="10">
        <v>0</v>
      </c>
      <c r="Q18" s="10" t="s">
        <v>24</v>
      </c>
      <c r="R18" s="10">
        <v>1</v>
      </c>
      <c r="S18" s="6" t="s">
        <v>79</v>
      </c>
      <c r="T18" s="4" t="s">
        <v>41</v>
      </c>
      <c r="U18" s="4">
        <v>0</v>
      </c>
      <c r="V18" s="4">
        <v>1</v>
      </c>
      <c r="W18" s="4" t="s">
        <v>63</v>
      </c>
    </row>
    <row r="19" spans="2:23" ht="15.75" thickBot="1" x14ac:dyDescent="0.3">
      <c r="B19" s="7" t="s">
        <v>22</v>
      </c>
      <c r="C19" s="7" t="s">
        <v>33</v>
      </c>
      <c r="D19" s="7"/>
      <c r="E19" s="7"/>
      <c r="F19" s="7"/>
      <c r="G19" s="7"/>
      <c r="H19" s="7" t="s">
        <v>34</v>
      </c>
      <c r="I19" s="8" t="s">
        <v>77</v>
      </c>
      <c r="J19" s="11"/>
      <c r="K19" s="11"/>
      <c r="L19" s="11"/>
      <c r="M19" s="11"/>
      <c r="N19" s="11" t="s">
        <v>78</v>
      </c>
      <c r="O19" s="11">
        <v>0</v>
      </c>
      <c r="P19" s="11">
        <v>1</v>
      </c>
      <c r="Q19" s="11" t="s">
        <v>24</v>
      </c>
      <c r="R19" s="11">
        <v>1</v>
      </c>
      <c r="S19" s="9" t="s">
        <v>79</v>
      </c>
      <c r="T19" s="7" t="s">
        <v>41</v>
      </c>
      <c r="U19" s="7">
        <v>0</v>
      </c>
      <c r="V19" s="7">
        <v>1</v>
      </c>
      <c r="W19" s="7" t="s">
        <v>63</v>
      </c>
    </row>
    <row r="21" spans="2:23" x14ac:dyDescent="0.25">
      <c r="N21" s="2"/>
      <c r="O21" s="2"/>
      <c r="P21" s="2"/>
      <c r="Q21" s="2"/>
      <c r="R21" s="2"/>
    </row>
  </sheetData>
  <mergeCells count="3">
    <mergeCell ref="J2:M2"/>
    <mergeCell ref="D2:H2"/>
    <mergeCell ref="N2:R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Message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Ramos, Paulo</dc:creator>
  <cp:lastModifiedBy>Batista, Gabriel Peixoto</cp:lastModifiedBy>
  <dcterms:created xsi:type="dcterms:W3CDTF">2026-02-12T18:14:45Z</dcterms:created>
  <dcterms:modified xsi:type="dcterms:W3CDTF">2026-03-19T20:02:37Z</dcterms:modified>
</cp:coreProperties>
</file>